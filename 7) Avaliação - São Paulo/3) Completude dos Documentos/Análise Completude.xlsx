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F14D780C-D472-450B-9678-EC3BB3086F34}" xr6:coauthVersionLast="47" xr6:coauthVersionMax="47" xr10:uidLastSave="{00000000-0000-0000-0000-000000000000}"/>
  <bookViews>
    <workbookView xWindow="19090" yWindow="870" windowWidth="19420" windowHeight="10300" xr2:uid="{00000000-000D-0000-FFFF-FFFF00000000}"/>
  </bookViews>
  <sheets>
    <sheet name="PE" sheetId="3" r:id="rId1"/>
    <sheet name="PM" sheetId="4" r:id="rId2"/>
    <sheet name="PPA" sheetId="5" r:id="rId3"/>
    <sheet name="LDO" sheetId="7" r:id="rId4"/>
    <sheet name="LOA" sheetId="8" r:id="rId5"/>
    <sheet name="Resultado Estrutura" sheetId="10" r:id="rId6"/>
    <sheet name="PM 21-24 - SP" sheetId="1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F9yBB02iCVLfWw0fzT9w7NM/Z7pKxaRXYr+OUnl30Yk="/>
    </ext>
  </extLst>
</workbook>
</file>

<file path=xl/calcChain.xml><?xml version="1.0" encoding="utf-8"?>
<calcChain xmlns="http://schemas.openxmlformats.org/spreadsheetml/2006/main">
  <c r="I6" i="8" l="1"/>
  <c r="C9" i="10" s="1"/>
  <c r="H6" i="8"/>
  <c r="K6" i="7"/>
  <c r="C8" i="10" s="1"/>
  <c r="O10" i="5"/>
  <c r="C7" i="10" s="1"/>
  <c r="O9" i="4"/>
  <c r="O12" i="3"/>
  <c r="C10" i="10" l="1"/>
</calcChain>
</file>

<file path=xl/sharedStrings.xml><?xml version="1.0" encoding="utf-8"?>
<sst xmlns="http://schemas.openxmlformats.org/spreadsheetml/2006/main" count="133" uniqueCount="71">
  <si>
    <t>Nome do Documento</t>
  </si>
  <si>
    <t>PE</t>
  </si>
  <si>
    <t>PM</t>
  </si>
  <si>
    <t>PPA</t>
  </si>
  <si>
    <t>LDO</t>
  </si>
  <si>
    <t>LOA</t>
  </si>
  <si>
    <t>Média</t>
  </si>
  <si>
    <t>Plano de Metas</t>
  </si>
  <si>
    <t>Desafios</t>
  </si>
  <si>
    <t>Missão</t>
  </si>
  <si>
    <t>Visão</t>
  </si>
  <si>
    <t>Objetivos</t>
  </si>
  <si>
    <t>Metas</t>
  </si>
  <si>
    <t>Estratégias</t>
  </si>
  <si>
    <t>Plano de Implantação</t>
  </si>
  <si>
    <t>Indicadores</t>
  </si>
  <si>
    <t>Diretrizes</t>
  </si>
  <si>
    <t>Temas</t>
  </si>
  <si>
    <t>Programas</t>
  </si>
  <si>
    <t>Orçamento</t>
  </si>
  <si>
    <t>Anexo de alinhamento com a LDO</t>
  </si>
  <si>
    <t>Eixos Temáticos</t>
  </si>
  <si>
    <t>Objetivos Estratégicos</t>
  </si>
  <si>
    <t>Iniciativas</t>
  </si>
  <si>
    <t>P</t>
  </si>
  <si>
    <t>Objetivo de Desenvolvimento Estratégico  (ODS)</t>
  </si>
  <si>
    <t>Meta Global</t>
  </si>
  <si>
    <t>Meta Municipal</t>
  </si>
  <si>
    <t>Contextualização</t>
  </si>
  <si>
    <t>Desafios Remanescentes</t>
  </si>
  <si>
    <t>Classificação de Governabilidade</t>
  </si>
  <si>
    <t>Resultados e Oportunidaddes</t>
  </si>
  <si>
    <t>Plano de Ação para Implementação da Agenda Municipal 20230</t>
  </si>
  <si>
    <t>Ações</t>
  </si>
  <si>
    <t>%</t>
  </si>
  <si>
    <t>Estrutura Planejamento Estratégico Proposta</t>
  </si>
  <si>
    <t>TOTAIS</t>
  </si>
  <si>
    <t>Indicador</t>
  </si>
  <si>
    <t>Secretarias Responsáveis</t>
  </si>
  <si>
    <t>ODS Vinculado</t>
  </si>
  <si>
    <t>Informações Complementares</t>
  </si>
  <si>
    <t>Contexto</t>
  </si>
  <si>
    <t>Regionalização</t>
  </si>
  <si>
    <t>Estrutura Plano de Metas Proposta</t>
  </si>
  <si>
    <t>São os vetores de organização do PdM. Os eixos apresentam a visão de cidade para o quadriênio 2021-2024, com base nos principais desafios enfrentados pela metrópole hoje.</t>
  </si>
  <si>
    <t xml:space="preserve">É o impacto vislumbrado a partir da implementação das 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</si>
  <si>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 à redação da meta. </t>
  </si>
  <si>
    <t>Atividades ou projetos que garantam a efetivação das metas. Devem detalhar as entregas que contribuem diretamente para o cumprimento das metas estabelecidas.</t>
  </si>
  <si>
    <t>Eixos Programáticos</t>
  </si>
  <si>
    <t>Programas Orçamentários</t>
  </si>
  <si>
    <t>Metas ODS Vinculadas</t>
  </si>
  <si>
    <t>Metas PM Vinculadas</t>
  </si>
  <si>
    <t>Previsão Orçamentária</t>
  </si>
  <si>
    <t>Estrutura PPA Proposta</t>
  </si>
  <si>
    <t>-</t>
  </si>
  <si>
    <t>Prioridade</t>
  </si>
  <si>
    <t>Programa PPA Vinculado</t>
  </si>
  <si>
    <t>Metas de Execução</t>
  </si>
  <si>
    <t>Projetos em Andamento do Exercício Anterior</t>
  </si>
  <si>
    <t>Estrutura LDO Proposta</t>
  </si>
  <si>
    <t>Despesas Correntes</t>
  </si>
  <si>
    <t>Projetos</t>
  </si>
  <si>
    <t>Estrutura LOA Proposta</t>
  </si>
  <si>
    <t>Percentual de Correspondência com o Modelo Proposto</t>
  </si>
  <si>
    <t>Percentual de Completude</t>
  </si>
  <si>
    <t>Percentual</t>
  </si>
  <si>
    <t>SP (21-24)</t>
  </si>
  <si>
    <t>São os vetores de organização do PdM. Os eixos apresentam a visão de
cidade para o quadriênio 2021-2024, com base nos principais desafios
enfrentados pela metrópole hoje.</t>
  </si>
  <si>
    <t xml:space="preserve">É o impacto vislumbrado a partir da implementação das
diferentes metas. Traduzem os propósitos de melhoria da
qualidade de vida da população e de transformação da cidade. </t>
  </si>
  <si>
    <t xml:space="preserve">São os desdobramentos dos Objetivos Estratégicos em finalidades específicas. Estão diretamente relacionadas às atribuições da Prefeitura e exprimem entregas e serviços tangíveis à cidade e à população, como a entrega de benefícios, a ampliação, melhoria ou criação de novo serviço ou programa. O indicador associado a cada meta é o elemento central para medir o avanço e qualidade do PdM e constitui unidade de medida diretamente correspondente
à redação da meta. </t>
  </si>
  <si>
    <t>Atividades ou projetos que garantam a efetivação das metas. Devem detalhar
as entregas que contribuem diretamente para o cumprimento das metas
estabelecidas.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</si>
</sst>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sz val="32"/>
      <color theme="0"/>
      <name val="Noto Sans Symbols"/>
    </font>
    <font>
      <sz val="32"/>
      <color theme="0"/>
      <name val="Calibri"/>
    </font>
    <font>
      <sz val="32"/>
      <color rgb="FFFFFFFF"/>
      <name val="Noto Sans Symbols"/>
    </font>
    <font>
      <sz val="14"/>
      <color theme="1"/>
      <name val="Calibri"/>
    </font>
    <font>
      <b/>
      <sz val="11"/>
      <color theme="1"/>
      <name val="Calibri"/>
      <scheme val="minor"/>
    </font>
    <font>
      <b/>
      <sz val="22"/>
      <color theme="1"/>
      <name val="Calibri"/>
    </font>
    <font>
      <b/>
      <sz val="14"/>
      <color theme="1"/>
      <name val="Calibri"/>
    </font>
    <font>
      <sz val="3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385623"/>
        <bgColor rgb="FF385623"/>
      </patternFill>
    </fill>
    <fill>
      <patternFill patternType="solid">
        <fgColor rgb="FF375623"/>
        <bgColor rgb="FF37562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readingOrder="1"/>
    </xf>
    <xf numFmtId="0" fontId="7" fillId="4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 vertical="center" readingOrder="1"/>
    </xf>
    <xf numFmtId="0" fontId="7" fillId="5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3" xfId="0" applyFont="1" applyBorder="1"/>
    <xf numFmtId="0" fontId="4" fillId="0" borderId="9" xfId="0" applyFont="1" applyBorder="1"/>
    <xf numFmtId="0" fontId="4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4" fillId="0" borderId="11" xfId="0" applyFont="1" applyBorder="1"/>
    <xf numFmtId="0" fontId="2" fillId="0" borderId="12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4" fillId="0" borderId="8" xfId="0" applyFont="1" applyBorder="1"/>
    <xf numFmtId="0" fontId="10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23" Type="http://schemas.openxmlformats.org/officeDocument/2006/relationships/styles" Target="styles.xml"/><Relationship Id="rId4" Type="http://schemas.openxmlformats.org/officeDocument/2006/relationships/worksheet" Target="worksheets/sheet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1000"/>
  <sheetViews>
    <sheetView tabSelected="1" zoomScale="55" zoomScaleNormal="55" workbookViewId="0"/>
  </sheetViews>
  <sheetFormatPr defaultColWidth="14.42578125" defaultRowHeight="15" customHeight="1"/>
  <cols>
    <col min="1" max="1" width="11.42578125" customWidth="1"/>
    <col min="2" max="2" width="16.140625" customWidth="1"/>
    <col min="3" max="3" width="11.42578125" customWidth="1"/>
    <col min="4" max="5" width="29.85546875" customWidth="1"/>
    <col min="6" max="6" width="14.7109375" customWidth="1"/>
    <col min="7" max="7" width="13" customWidth="1"/>
    <col min="8" max="8" width="13.85546875" customWidth="1"/>
    <col min="9" max="9" width="10" customWidth="1"/>
    <col min="10" max="10" width="12.28515625" customWidth="1"/>
    <col min="11" max="11" width="13.28515625" customWidth="1"/>
    <col min="12" max="12" width="13.140625" customWidth="1"/>
    <col min="13" max="14" width="16.28515625" customWidth="1"/>
    <col min="15" max="26" width="11.42578125" customWidth="1"/>
  </cols>
  <sheetData>
    <row r="2" spans="2:19">
      <c r="E2" s="2">
        <v>1</v>
      </c>
      <c r="F2" s="8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</row>
    <row r="3" spans="2:19" ht="72" customHeight="1">
      <c r="E3" s="9" t="s">
        <v>25</v>
      </c>
      <c r="F3" s="10" t="s">
        <v>26</v>
      </c>
      <c r="G3" s="10" t="s">
        <v>27</v>
      </c>
      <c r="H3" s="10" t="s">
        <v>28</v>
      </c>
      <c r="I3" s="10" t="s">
        <v>15</v>
      </c>
      <c r="J3" s="10" t="s">
        <v>29</v>
      </c>
      <c r="K3" s="10" t="s">
        <v>30</v>
      </c>
      <c r="L3" s="10" t="s">
        <v>31</v>
      </c>
      <c r="M3" s="10" t="s">
        <v>32</v>
      </c>
      <c r="N3" s="9" t="s">
        <v>33</v>
      </c>
      <c r="O3" s="9" t="s">
        <v>34</v>
      </c>
    </row>
    <row r="4" spans="2:19" ht="42">
      <c r="B4" s="29" t="s">
        <v>35</v>
      </c>
      <c r="C4" s="8">
        <v>1</v>
      </c>
      <c r="D4" s="2" t="s">
        <v>8</v>
      </c>
      <c r="E4" s="2"/>
      <c r="F4" s="11"/>
      <c r="G4" s="5"/>
      <c r="H4" s="5"/>
      <c r="I4" s="5"/>
      <c r="J4" s="12" t="s">
        <v>24</v>
      </c>
      <c r="K4" s="5"/>
      <c r="L4" s="5"/>
      <c r="M4" s="5"/>
      <c r="N4" s="5"/>
      <c r="O4" s="2">
        <v>1</v>
      </c>
    </row>
    <row r="5" spans="2:19" ht="42">
      <c r="B5" s="28"/>
      <c r="C5" s="8">
        <v>2</v>
      </c>
      <c r="D5" s="2" t="s">
        <v>9</v>
      </c>
      <c r="E5" s="2"/>
      <c r="F5" s="11"/>
      <c r="G5" s="5"/>
      <c r="H5" s="5"/>
      <c r="I5" s="5"/>
      <c r="J5" s="5"/>
      <c r="K5" s="5"/>
      <c r="L5" s="5"/>
      <c r="M5" s="5"/>
      <c r="N5" s="5"/>
      <c r="O5" s="2">
        <v>0</v>
      </c>
    </row>
    <row r="6" spans="2:19" ht="42">
      <c r="B6" s="28"/>
      <c r="C6" s="8">
        <v>3</v>
      </c>
      <c r="D6" s="2" t="s">
        <v>10</v>
      </c>
      <c r="E6" s="2"/>
      <c r="F6" s="11"/>
      <c r="G6" s="5"/>
      <c r="H6" s="5"/>
      <c r="I6" s="5"/>
      <c r="J6" s="5"/>
      <c r="K6" s="5"/>
      <c r="L6" s="5"/>
      <c r="M6" s="5"/>
      <c r="N6" s="5"/>
      <c r="O6" s="2">
        <v>0</v>
      </c>
    </row>
    <row r="7" spans="2:19" ht="42">
      <c r="B7" s="28"/>
      <c r="C7" s="8">
        <v>4</v>
      </c>
      <c r="D7" s="2" t="s">
        <v>11</v>
      </c>
      <c r="E7" s="13" t="s">
        <v>24</v>
      </c>
      <c r="F7" s="11"/>
      <c r="G7" s="5"/>
      <c r="H7" s="5"/>
      <c r="I7" s="5"/>
      <c r="J7" s="5"/>
      <c r="K7" s="5"/>
      <c r="L7" s="5"/>
      <c r="M7" s="5"/>
      <c r="N7" s="5"/>
      <c r="O7" s="2">
        <v>1</v>
      </c>
    </row>
    <row r="8" spans="2:19" ht="42">
      <c r="B8" s="28"/>
      <c r="C8" s="8">
        <v>5</v>
      </c>
      <c r="D8" s="2" t="s">
        <v>12</v>
      </c>
      <c r="E8" s="2"/>
      <c r="F8" s="11"/>
      <c r="G8" s="13" t="s">
        <v>24</v>
      </c>
      <c r="H8" s="5"/>
      <c r="I8" s="5"/>
      <c r="J8" s="5"/>
      <c r="K8" s="5"/>
      <c r="L8" s="5"/>
      <c r="M8" s="5"/>
      <c r="N8" s="5"/>
      <c r="O8" s="2">
        <v>1</v>
      </c>
    </row>
    <row r="9" spans="2:19" ht="42">
      <c r="B9" s="28"/>
      <c r="C9" s="8">
        <v>6</v>
      </c>
      <c r="D9" s="2" t="s">
        <v>13</v>
      </c>
      <c r="E9" s="2"/>
      <c r="F9" s="11"/>
      <c r="G9" s="5"/>
      <c r="H9" s="5"/>
      <c r="I9" s="5"/>
      <c r="J9" s="5"/>
      <c r="K9" s="5"/>
      <c r="L9" s="5"/>
      <c r="M9" s="5"/>
      <c r="N9" s="13" t="s">
        <v>24</v>
      </c>
      <c r="O9" s="2">
        <v>1</v>
      </c>
    </row>
    <row r="10" spans="2:19" ht="42">
      <c r="B10" s="28"/>
      <c r="C10" s="8">
        <v>7</v>
      </c>
      <c r="D10" s="2" t="s">
        <v>14</v>
      </c>
      <c r="E10" s="2"/>
      <c r="F10" s="11"/>
      <c r="G10" s="5"/>
      <c r="H10" s="5"/>
      <c r="I10" s="5"/>
      <c r="J10" s="5"/>
      <c r="K10" s="2"/>
      <c r="L10" s="2"/>
      <c r="M10" s="14" t="s">
        <v>24</v>
      </c>
      <c r="N10" s="2"/>
      <c r="O10" s="2">
        <v>1</v>
      </c>
      <c r="P10" s="15"/>
      <c r="Q10" s="15"/>
      <c r="R10" s="15"/>
      <c r="S10" s="15"/>
    </row>
    <row r="11" spans="2:19" ht="42">
      <c r="B11" s="30"/>
      <c r="C11" s="8">
        <v>8</v>
      </c>
      <c r="D11" s="2" t="s">
        <v>15</v>
      </c>
      <c r="E11" s="2"/>
      <c r="F11" s="11"/>
      <c r="G11" s="5"/>
      <c r="H11" s="5"/>
      <c r="I11" s="14" t="s">
        <v>24</v>
      </c>
      <c r="J11" s="5"/>
      <c r="K11" s="5"/>
      <c r="L11" s="5"/>
      <c r="M11" s="5"/>
      <c r="N11" s="5"/>
      <c r="O11" s="2">
        <v>1</v>
      </c>
    </row>
    <row r="12" spans="2:19">
      <c r="D12" s="8" t="s">
        <v>36</v>
      </c>
      <c r="E12" s="16">
        <v>17</v>
      </c>
      <c r="F12" s="16">
        <v>169</v>
      </c>
      <c r="G12" s="16">
        <v>135</v>
      </c>
      <c r="H12" s="16">
        <v>135</v>
      </c>
      <c r="I12" s="16">
        <v>547</v>
      </c>
      <c r="J12" s="16">
        <v>135</v>
      </c>
      <c r="K12" s="16">
        <v>3</v>
      </c>
      <c r="L12" s="16">
        <v>1</v>
      </c>
      <c r="M12" s="16">
        <v>1</v>
      </c>
      <c r="N12" s="16">
        <v>644</v>
      </c>
      <c r="O12" s="17">
        <f>(SUM(O4:O11)/C11)</f>
        <v>0.75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B11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000"/>
  <sheetViews>
    <sheetView topLeftCell="A5" zoomScale="55" zoomScaleNormal="55" workbookViewId="0">
      <selection activeCell="F5" sqref="F5"/>
    </sheetView>
  </sheetViews>
  <sheetFormatPr defaultColWidth="14.42578125" defaultRowHeight="15" customHeight="1"/>
  <cols>
    <col min="1" max="3" width="11.42578125" customWidth="1"/>
    <col min="4" max="5" width="29.85546875" customWidth="1"/>
    <col min="6" max="6" width="14.7109375" customWidth="1"/>
    <col min="7" max="7" width="13" customWidth="1"/>
    <col min="8" max="14" width="13.85546875" customWidth="1"/>
    <col min="15" max="26" width="11.42578125" customWidth="1"/>
  </cols>
  <sheetData>
    <row r="2" spans="2:15">
      <c r="E2" s="2">
        <v>1</v>
      </c>
      <c r="F2" s="8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</row>
    <row r="3" spans="2:15" ht="72" customHeight="1">
      <c r="E3" s="9" t="s">
        <v>21</v>
      </c>
      <c r="F3" s="10" t="s">
        <v>22</v>
      </c>
      <c r="G3" s="10" t="s">
        <v>12</v>
      </c>
      <c r="H3" s="10" t="s">
        <v>23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9" t="s">
        <v>34</v>
      </c>
    </row>
    <row r="4" spans="2:15" ht="40.5">
      <c r="B4" s="29" t="s">
        <v>43</v>
      </c>
      <c r="C4" s="8">
        <v>1</v>
      </c>
      <c r="D4" s="18" t="s">
        <v>21</v>
      </c>
      <c r="E4" s="13" t="s">
        <v>24</v>
      </c>
      <c r="F4" s="5"/>
      <c r="G4" s="5"/>
      <c r="H4" s="5"/>
      <c r="I4" s="5"/>
      <c r="J4" s="5"/>
      <c r="K4" s="5"/>
      <c r="L4" s="5"/>
      <c r="M4" s="5"/>
      <c r="N4" s="5"/>
      <c r="O4" s="2">
        <v>1</v>
      </c>
    </row>
    <row r="5" spans="2:15" ht="40.5">
      <c r="B5" s="28"/>
      <c r="C5" s="8">
        <v>2</v>
      </c>
      <c r="D5" s="18" t="s">
        <v>22</v>
      </c>
      <c r="E5" s="2"/>
      <c r="F5" s="13" t="s">
        <v>24</v>
      </c>
      <c r="G5" s="5"/>
      <c r="H5" s="5"/>
      <c r="I5" s="5"/>
      <c r="J5" s="5"/>
      <c r="K5" s="5"/>
      <c r="L5" s="5"/>
      <c r="M5" s="5"/>
      <c r="N5" s="5"/>
      <c r="O5" s="2">
        <v>1</v>
      </c>
    </row>
    <row r="6" spans="2:15" ht="42">
      <c r="B6" s="28"/>
      <c r="C6" s="8">
        <v>3</v>
      </c>
      <c r="D6" s="18" t="s">
        <v>12</v>
      </c>
      <c r="E6" s="2"/>
      <c r="F6" s="11"/>
      <c r="G6" s="13" t="s">
        <v>24</v>
      </c>
      <c r="H6" s="5"/>
      <c r="I6" s="5"/>
      <c r="J6" s="5"/>
      <c r="K6" s="5"/>
      <c r="L6" s="5"/>
      <c r="M6" s="5"/>
      <c r="N6" s="5"/>
      <c r="O6" s="2">
        <v>1</v>
      </c>
    </row>
    <row r="7" spans="2:15" ht="42">
      <c r="B7" s="28"/>
      <c r="C7" s="8">
        <v>4</v>
      </c>
      <c r="D7" s="18" t="s">
        <v>23</v>
      </c>
      <c r="E7" s="2"/>
      <c r="F7" s="11"/>
      <c r="G7" s="2"/>
      <c r="H7" s="13" t="s">
        <v>24</v>
      </c>
      <c r="I7" s="5"/>
      <c r="J7" s="5"/>
      <c r="K7" s="5"/>
      <c r="L7" s="5"/>
      <c r="M7" s="5"/>
      <c r="N7" s="5"/>
      <c r="O7" s="2">
        <v>1</v>
      </c>
    </row>
    <row r="8" spans="2:15" ht="42">
      <c r="B8" s="30"/>
      <c r="C8" s="8">
        <v>5</v>
      </c>
      <c r="D8" s="18" t="s">
        <v>37</v>
      </c>
      <c r="E8" s="2"/>
      <c r="F8" s="11"/>
      <c r="G8" s="2"/>
      <c r="H8" s="5"/>
      <c r="I8" s="13" t="s">
        <v>24</v>
      </c>
      <c r="J8" s="5"/>
      <c r="K8" s="5"/>
      <c r="L8" s="5"/>
      <c r="M8" s="5"/>
      <c r="N8" s="5"/>
      <c r="O8" s="2">
        <v>1</v>
      </c>
    </row>
    <row r="9" spans="2:15">
      <c r="D9" s="8" t="s">
        <v>36</v>
      </c>
      <c r="E9" s="16">
        <v>6</v>
      </c>
      <c r="F9" s="16">
        <v>28</v>
      </c>
      <c r="G9" s="16">
        <v>77</v>
      </c>
      <c r="H9" s="16">
        <v>356</v>
      </c>
      <c r="I9" s="16">
        <v>84</v>
      </c>
      <c r="J9" s="16">
        <v>30</v>
      </c>
      <c r="K9" s="16">
        <v>17</v>
      </c>
      <c r="L9" s="16">
        <v>86</v>
      </c>
      <c r="M9" s="16">
        <v>86</v>
      </c>
      <c r="N9" s="16">
        <v>86</v>
      </c>
      <c r="O9" s="17">
        <f>(SUM(O4:O8)/C8)</f>
        <v>1</v>
      </c>
    </row>
    <row r="14" spans="2:15" ht="51.75" customHeight="1">
      <c r="D14" s="18" t="s">
        <v>21</v>
      </c>
      <c r="E14" s="31" t="s">
        <v>44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40.5" customHeight="1">
      <c r="D15" s="18" t="s">
        <v>22</v>
      </c>
      <c r="E15" s="31" t="s">
        <v>45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spans="2:15" ht="75.75" customHeight="1">
      <c r="D16" s="18" t="s">
        <v>12</v>
      </c>
      <c r="E16" s="31" t="s">
        <v>46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spans="4:15" ht="45" customHeight="1">
      <c r="D17" s="18" t="s">
        <v>23</v>
      </c>
      <c r="E17" s="31" t="s">
        <v>47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21" spans="4:15" ht="15.75" customHeight="1"/>
    <row r="22" spans="4:15" ht="15.75" customHeight="1"/>
    <row r="23" spans="4:15" ht="15.75" customHeight="1"/>
    <row r="24" spans="4:15" ht="15.75" customHeight="1"/>
    <row r="25" spans="4:15" ht="15.75" customHeight="1"/>
    <row r="26" spans="4:15" ht="15.75" customHeight="1"/>
    <row r="27" spans="4:15" ht="15.75" customHeight="1"/>
    <row r="28" spans="4:15" ht="15.75" customHeight="1"/>
    <row r="29" spans="4:15" ht="15.75" customHeight="1"/>
    <row r="30" spans="4:15" ht="15.75" customHeight="1"/>
    <row r="31" spans="4:15" ht="15.75" customHeight="1"/>
    <row r="32" spans="4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B8"/>
    <mergeCell ref="E14:O14"/>
    <mergeCell ref="E15:O15"/>
    <mergeCell ref="E16:O16"/>
    <mergeCell ref="E17:O17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997"/>
  <sheetViews>
    <sheetView topLeftCell="A5" zoomScale="55" zoomScaleNormal="55" workbookViewId="0">
      <selection activeCell="F6" sqref="F6"/>
    </sheetView>
  </sheetViews>
  <sheetFormatPr defaultColWidth="14.42578125" defaultRowHeight="15" customHeight="1"/>
  <cols>
    <col min="1" max="3" width="11.42578125" customWidth="1"/>
    <col min="4" max="4" width="29.85546875" customWidth="1"/>
    <col min="5" max="5" width="20.28515625" bestFit="1" customWidth="1"/>
    <col min="6" max="6" width="14.7109375" customWidth="1"/>
    <col min="7" max="7" width="13" customWidth="1"/>
    <col min="8" max="14" width="13.85546875" customWidth="1"/>
    <col min="15" max="26" width="11.42578125" customWidth="1"/>
  </cols>
  <sheetData>
    <row r="2" spans="2:15">
      <c r="E2" s="2">
        <v>1</v>
      </c>
      <c r="F2" s="8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</row>
    <row r="3" spans="2:15" ht="72" customHeight="1">
      <c r="E3" s="9" t="s">
        <v>48</v>
      </c>
      <c r="F3" s="10" t="s">
        <v>49</v>
      </c>
      <c r="G3" s="10" t="s">
        <v>50</v>
      </c>
      <c r="H3" s="10" t="s">
        <v>51</v>
      </c>
      <c r="I3" s="10" t="s">
        <v>11</v>
      </c>
      <c r="J3" s="10" t="s">
        <v>52</v>
      </c>
      <c r="K3" s="10" t="s">
        <v>39</v>
      </c>
      <c r="L3" s="10" t="s">
        <v>15</v>
      </c>
      <c r="M3" s="10" t="s">
        <v>33</v>
      </c>
      <c r="N3" s="10" t="s">
        <v>42</v>
      </c>
      <c r="O3" s="9" t="s">
        <v>34</v>
      </c>
    </row>
    <row r="4" spans="2:15">
      <c r="B4" s="29" t="s">
        <v>53</v>
      </c>
      <c r="C4" s="8">
        <v>1</v>
      </c>
      <c r="D4" s="8" t="s">
        <v>16</v>
      </c>
      <c r="E4" s="2"/>
      <c r="F4" s="5"/>
      <c r="G4" s="5"/>
      <c r="H4" s="5"/>
      <c r="I4" s="5"/>
      <c r="J4" s="5"/>
      <c r="K4" s="5"/>
      <c r="L4" s="5"/>
      <c r="M4" s="5"/>
      <c r="N4" s="5"/>
      <c r="O4" s="2">
        <v>0</v>
      </c>
    </row>
    <row r="5" spans="2:15" ht="40.5">
      <c r="B5" s="28"/>
      <c r="C5" s="8">
        <v>2</v>
      </c>
      <c r="D5" s="8" t="s">
        <v>17</v>
      </c>
      <c r="E5" s="13" t="s">
        <v>24</v>
      </c>
      <c r="F5" s="2"/>
      <c r="G5" s="5"/>
      <c r="H5" s="5"/>
      <c r="I5" s="5"/>
      <c r="J5" s="5"/>
      <c r="K5" s="5"/>
      <c r="L5" s="5"/>
      <c r="M5" s="5"/>
      <c r="N5" s="5"/>
      <c r="O5" s="2">
        <v>1</v>
      </c>
    </row>
    <row r="6" spans="2:15" ht="40.5">
      <c r="B6" s="28"/>
      <c r="C6" s="8">
        <v>3</v>
      </c>
      <c r="D6" s="8" t="s">
        <v>18</v>
      </c>
      <c r="E6" s="2"/>
      <c r="F6" s="13" t="s">
        <v>24</v>
      </c>
      <c r="G6" s="5"/>
      <c r="H6" s="5"/>
      <c r="I6" s="5"/>
      <c r="J6" s="5"/>
      <c r="K6" s="5"/>
      <c r="L6" s="5"/>
      <c r="M6" s="5"/>
      <c r="N6" s="5"/>
      <c r="O6" s="2">
        <v>1</v>
      </c>
    </row>
    <row r="7" spans="2:15" ht="42">
      <c r="B7" s="28"/>
      <c r="C7" s="8">
        <v>4</v>
      </c>
      <c r="D7" s="8" t="s">
        <v>11</v>
      </c>
      <c r="E7" s="2"/>
      <c r="F7" s="11"/>
      <c r="G7" s="2"/>
      <c r="H7" s="5"/>
      <c r="I7" s="13" t="s">
        <v>24</v>
      </c>
      <c r="J7" s="5"/>
      <c r="K7" s="5"/>
      <c r="L7" s="5"/>
      <c r="M7" s="5"/>
      <c r="N7" s="5"/>
      <c r="O7" s="2">
        <v>1</v>
      </c>
    </row>
    <row r="8" spans="2:15" ht="42">
      <c r="B8" s="28"/>
      <c r="C8" s="8">
        <v>5</v>
      </c>
      <c r="D8" s="8" t="s">
        <v>15</v>
      </c>
      <c r="E8" s="2"/>
      <c r="F8" s="11"/>
      <c r="G8" s="2"/>
      <c r="H8" s="5"/>
      <c r="I8" s="5"/>
      <c r="J8" s="5"/>
      <c r="K8" s="5"/>
      <c r="L8" s="13" t="s">
        <v>24</v>
      </c>
      <c r="M8" s="5"/>
      <c r="N8" s="5"/>
      <c r="O8" s="2">
        <v>1</v>
      </c>
    </row>
    <row r="9" spans="2:15" ht="42">
      <c r="B9" s="30"/>
      <c r="C9" s="8">
        <v>6</v>
      </c>
      <c r="D9" s="8" t="s">
        <v>12</v>
      </c>
      <c r="E9" s="2"/>
      <c r="F9" s="11"/>
      <c r="G9" s="13" t="s">
        <v>24</v>
      </c>
      <c r="H9" s="13" t="s">
        <v>24</v>
      </c>
      <c r="I9" s="5"/>
      <c r="J9" s="5"/>
      <c r="K9" s="5"/>
      <c r="L9" s="5"/>
      <c r="M9" s="5"/>
      <c r="N9" s="5"/>
      <c r="O9" s="2">
        <v>1</v>
      </c>
    </row>
    <row r="10" spans="2:15">
      <c r="D10" s="8" t="s">
        <v>36</v>
      </c>
      <c r="E10" s="16">
        <v>6</v>
      </c>
      <c r="F10" s="16">
        <v>27</v>
      </c>
      <c r="G10" s="16">
        <v>84</v>
      </c>
      <c r="H10" s="16">
        <v>77</v>
      </c>
      <c r="I10" s="16">
        <v>33</v>
      </c>
      <c r="J10" s="16">
        <v>27</v>
      </c>
      <c r="K10" s="16">
        <v>17</v>
      </c>
      <c r="L10" s="16">
        <v>477</v>
      </c>
      <c r="M10" s="16">
        <v>261</v>
      </c>
      <c r="N10" s="16">
        <v>86</v>
      </c>
      <c r="O10" s="17">
        <f>(SUM(O4:O9)/C9)</f>
        <v>0.83333333333333337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4:B9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993"/>
  <sheetViews>
    <sheetView zoomScale="55" zoomScaleNormal="55" workbookViewId="0">
      <selection activeCell="H20" sqref="H20"/>
    </sheetView>
  </sheetViews>
  <sheetFormatPr defaultColWidth="14.42578125" defaultRowHeight="15" customHeight="1"/>
  <cols>
    <col min="1" max="3" width="11.42578125" customWidth="1"/>
    <col min="4" max="4" width="29.85546875" customWidth="1"/>
    <col min="5" max="5" width="10.28515625" bestFit="1" customWidth="1"/>
    <col min="6" max="6" width="14.7109375" customWidth="1"/>
    <col min="7" max="7" width="13" customWidth="1"/>
    <col min="8" max="10" width="13.85546875" customWidth="1"/>
    <col min="11" max="22" width="11.42578125" customWidth="1"/>
  </cols>
  <sheetData>
    <row r="2" spans="2:11">
      <c r="E2" s="2">
        <v>1</v>
      </c>
      <c r="F2" s="8">
        <v>2</v>
      </c>
      <c r="G2" s="2">
        <v>3</v>
      </c>
      <c r="H2" s="2">
        <v>4</v>
      </c>
      <c r="I2" s="2">
        <v>5</v>
      </c>
      <c r="J2" s="2">
        <v>6</v>
      </c>
    </row>
    <row r="3" spans="2:11" ht="72" customHeight="1">
      <c r="E3" s="9" t="s">
        <v>55</v>
      </c>
      <c r="F3" s="10" t="s">
        <v>22</v>
      </c>
      <c r="G3" s="10" t="s">
        <v>56</v>
      </c>
      <c r="H3" s="10" t="s">
        <v>57</v>
      </c>
      <c r="I3" s="10" t="s">
        <v>19</v>
      </c>
      <c r="J3" s="10" t="s">
        <v>58</v>
      </c>
      <c r="K3" s="9" t="s">
        <v>34</v>
      </c>
    </row>
    <row r="4" spans="2:11" ht="40.5">
      <c r="B4" s="29" t="s">
        <v>59</v>
      </c>
      <c r="C4" s="8">
        <v>1</v>
      </c>
      <c r="D4" s="3" t="s">
        <v>12</v>
      </c>
      <c r="E4" s="2"/>
      <c r="F4" s="5"/>
      <c r="G4" s="5"/>
      <c r="H4" s="13" t="s">
        <v>24</v>
      </c>
      <c r="I4" s="5"/>
      <c r="J4" s="5"/>
      <c r="K4" s="2">
        <v>1</v>
      </c>
    </row>
    <row r="5" spans="2:11" ht="40.5">
      <c r="B5" s="30"/>
      <c r="C5" s="8">
        <v>2</v>
      </c>
      <c r="D5" s="4" t="s">
        <v>55</v>
      </c>
      <c r="E5" s="13" t="s">
        <v>24</v>
      </c>
      <c r="F5" s="2"/>
      <c r="G5" s="5"/>
      <c r="H5" s="5"/>
      <c r="I5" s="5"/>
      <c r="J5" s="5"/>
      <c r="K5" s="2">
        <v>1</v>
      </c>
    </row>
    <row r="6" spans="2:11">
      <c r="D6" s="8" t="s">
        <v>36</v>
      </c>
      <c r="E6" s="16" t="s">
        <v>54</v>
      </c>
      <c r="F6" s="16">
        <v>12</v>
      </c>
      <c r="G6" s="16">
        <v>11</v>
      </c>
      <c r="H6" s="16">
        <v>29</v>
      </c>
      <c r="I6" s="16">
        <v>12</v>
      </c>
      <c r="J6" s="16">
        <v>83</v>
      </c>
      <c r="K6" s="17">
        <f>(SUM(K4:K5)/C5)</f>
        <v>1</v>
      </c>
    </row>
    <row r="14" spans="2:11" ht="15.75" customHeight="1"/>
    <row r="15" spans="2:11" ht="15.75" customHeight="1"/>
    <row r="16" spans="2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B4:B5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992"/>
  <sheetViews>
    <sheetView zoomScale="55" zoomScaleNormal="55" workbookViewId="0">
      <selection activeCell="A11" sqref="A11:XFD15"/>
    </sheetView>
  </sheetViews>
  <sheetFormatPr defaultColWidth="14.42578125" defaultRowHeight="15" customHeight="1"/>
  <cols>
    <col min="1" max="3" width="11.42578125" customWidth="1"/>
    <col min="4" max="4" width="29.85546875" customWidth="1"/>
    <col min="5" max="5" width="10.28515625" bestFit="1" customWidth="1"/>
    <col min="6" max="6" width="14.7109375" customWidth="1"/>
    <col min="7" max="7" width="13" customWidth="1"/>
    <col min="8" max="8" width="13.85546875" customWidth="1"/>
    <col min="9" max="20" width="11.42578125" customWidth="1"/>
  </cols>
  <sheetData>
    <row r="2" spans="2:9">
      <c r="E2" s="2">
        <v>1</v>
      </c>
      <c r="F2" s="8">
        <v>2</v>
      </c>
      <c r="G2" s="2">
        <v>3</v>
      </c>
      <c r="H2" s="2">
        <v>4</v>
      </c>
    </row>
    <row r="3" spans="2:9" ht="72" customHeight="1">
      <c r="E3" s="9" t="s">
        <v>18</v>
      </c>
      <c r="F3" s="10" t="s">
        <v>60</v>
      </c>
      <c r="G3" s="10" t="s">
        <v>61</v>
      </c>
      <c r="H3" s="10" t="s">
        <v>19</v>
      </c>
      <c r="I3" s="9" t="s">
        <v>34</v>
      </c>
    </row>
    <row r="4" spans="2:9" ht="40.5">
      <c r="B4" s="29" t="s">
        <v>62</v>
      </c>
      <c r="C4" s="8">
        <v>1</v>
      </c>
      <c r="D4" s="3" t="s">
        <v>19</v>
      </c>
      <c r="E4" s="2"/>
      <c r="F4" s="5"/>
      <c r="G4" s="5"/>
      <c r="H4" s="13" t="s">
        <v>24</v>
      </c>
      <c r="I4" s="2">
        <v>1</v>
      </c>
    </row>
    <row r="5" spans="2:9" ht="40.5">
      <c r="B5" s="30"/>
      <c r="C5" s="8">
        <v>2</v>
      </c>
      <c r="D5" s="7" t="s">
        <v>20</v>
      </c>
      <c r="E5" s="13" t="s">
        <v>24</v>
      </c>
      <c r="F5" s="5"/>
      <c r="G5" s="13" t="s">
        <v>24</v>
      </c>
      <c r="H5" s="5"/>
      <c r="I5" s="2">
        <v>1</v>
      </c>
    </row>
    <row r="6" spans="2:9">
      <c r="D6" s="8" t="s">
        <v>36</v>
      </c>
      <c r="E6" s="16">
        <v>29</v>
      </c>
      <c r="F6" s="16">
        <v>3081</v>
      </c>
      <c r="G6" s="16">
        <v>749</v>
      </c>
      <c r="H6" s="16">
        <f>F6+G6</f>
        <v>3830</v>
      </c>
      <c r="I6" s="17">
        <f>(SUM(I4:I5)/C5)</f>
        <v>1</v>
      </c>
    </row>
    <row r="13" spans="2:9" ht="15.75" customHeight="1"/>
    <row r="14" spans="2:9" ht="15.75" customHeight="1"/>
    <row r="15" spans="2:9" ht="15.75" customHeight="1"/>
    <row r="16" spans="2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4:B5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3"/>
  <sheetViews>
    <sheetView workbookViewId="0">
      <selection activeCell="C13" sqref="C13"/>
    </sheetView>
  </sheetViews>
  <sheetFormatPr defaultColWidth="14.42578125" defaultRowHeight="15" customHeight="1"/>
  <cols>
    <col min="1" max="1" width="14.7109375" customWidth="1"/>
    <col min="2" max="2" width="16" customWidth="1"/>
    <col min="3" max="3" width="16.7109375" customWidth="1"/>
    <col min="4" max="4" width="11.42578125" customWidth="1"/>
    <col min="5" max="5" width="11.85546875" customWidth="1"/>
    <col min="6" max="26" width="8.7109375" customWidth="1"/>
  </cols>
  <sheetData>
    <row r="1" spans="1:5">
      <c r="A1" s="24" t="s">
        <v>63</v>
      </c>
      <c r="B1" s="25"/>
      <c r="C1" s="25"/>
      <c r="D1" s="25"/>
      <c r="E1" s="25"/>
    </row>
    <row r="2" spans="1:5">
      <c r="B2" s="32" t="s">
        <v>64</v>
      </c>
      <c r="C2" s="25"/>
    </row>
    <row r="4" spans="1:5" ht="30">
      <c r="B4" s="1" t="s">
        <v>0</v>
      </c>
      <c r="C4" s="1" t="s">
        <v>65</v>
      </c>
    </row>
    <row r="5" spans="1:5">
      <c r="B5" s="19" t="s">
        <v>1</v>
      </c>
      <c r="C5" s="6">
        <v>0.75</v>
      </c>
    </row>
    <row r="6" spans="1:5">
      <c r="B6" s="19" t="s">
        <v>2</v>
      </c>
      <c r="C6" s="6">
        <v>1</v>
      </c>
    </row>
    <row r="7" spans="1:5">
      <c r="B7" s="19" t="s">
        <v>3</v>
      </c>
      <c r="C7" s="6">
        <f>PPA!O10</f>
        <v>0.83333333333333337</v>
      </c>
    </row>
    <row r="8" spans="1:5">
      <c r="B8" s="19" t="s">
        <v>4</v>
      </c>
      <c r="C8" s="6">
        <f>LDO!K6</f>
        <v>1</v>
      </c>
    </row>
    <row r="9" spans="1:5">
      <c r="B9" s="19" t="s">
        <v>5</v>
      </c>
      <c r="C9" s="6">
        <f>LOA!I6</f>
        <v>1</v>
      </c>
    </row>
    <row r="10" spans="1:5">
      <c r="B10" s="20" t="s">
        <v>6</v>
      </c>
      <c r="C10" s="21">
        <f>AVERAGE(C5:C9)</f>
        <v>0.91666666666666674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E1"/>
    <mergeCell ref="B2:C2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000"/>
  <sheetViews>
    <sheetView workbookViewId="0"/>
  </sheetViews>
  <sheetFormatPr defaultColWidth="14.42578125" defaultRowHeight="15" customHeight="1"/>
  <cols>
    <col min="1" max="1" width="11.42578125" customWidth="1"/>
    <col min="2" max="2" width="19.140625" customWidth="1"/>
    <col min="3" max="3" width="26.28515625" customWidth="1"/>
    <col min="4" max="4" width="8.85546875" customWidth="1"/>
    <col min="5" max="7" width="11.42578125" customWidth="1"/>
    <col min="8" max="8" width="73.7109375" customWidth="1"/>
    <col min="9" max="26" width="11.42578125" customWidth="1"/>
  </cols>
  <sheetData>
    <row r="2" spans="2:8" ht="28.5">
      <c r="D2" s="34" t="s">
        <v>66</v>
      </c>
      <c r="E2" s="33"/>
    </row>
    <row r="3" spans="2:8" ht="45">
      <c r="B3" s="35" t="s">
        <v>7</v>
      </c>
      <c r="C3" s="18" t="s">
        <v>21</v>
      </c>
      <c r="D3" s="13" t="s">
        <v>24</v>
      </c>
      <c r="E3" s="22">
        <v>6</v>
      </c>
      <c r="H3" s="23" t="s">
        <v>67</v>
      </c>
    </row>
    <row r="4" spans="2:8" ht="45">
      <c r="B4" s="26"/>
      <c r="C4" s="18" t="s">
        <v>22</v>
      </c>
      <c r="D4" s="13" t="s">
        <v>24</v>
      </c>
      <c r="E4" s="22">
        <v>27</v>
      </c>
      <c r="H4" s="23" t="s">
        <v>68</v>
      </c>
    </row>
    <row r="5" spans="2:8" ht="105">
      <c r="B5" s="26"/>
      <c r="C5" s="18" t="s">
        <v>12</v>
      </c>
      <c r="D5" s="13" t="s">
        <v>24</v>
      </c>
      <c r="E5" s="22">
        <v>77</v>
      </c>
      <c r="H5" s="23" t="s">
        <v>69</v>
      </c>
    </row>
    <row r="6" spans="2:8" ht="45">
      <c r="B6" s="27"/>
      <c r="C6" s="18" t="s">
        <v>23</v>
      </c>
      <c r="D6" s="13" t="s">
        <v>24</v>
      </c>
      <c r="E6" s="22">
        <v>366</v>
      </c>
      <c r="H6" s="23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:E2"/>
    <mergeCell ref="B3:B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PE</vt:lpstr>
      <vt:lpstr>PM</vt:lpstr>
      <vt:lpstr>PPA</vt:lpstr>
      <vt:lpstr>LDO</vt:lpstr>
      <vt:lpstr>LOA</vt:lpstr>
      <vt:lpstr>Resultado Estrutura</vt:lpstr>
      <vt:lpstr>PM 21-24 -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Moreira Cruz</dc:creator>
  <cp:lastModifiedBy>Matheus Moreira Cruz</cp:lastModifiedBy>
  <dcterms:created xsi:type="dcterms:W3CDTF">2022-07-06T21:03:30Z</dcterms:created>
  <dcterms:modified xsi:type="dcterms:W3CDTF">2025-10-06T18:48:34Z</dcterms:modified>
</cp:coreProperties>
</file>